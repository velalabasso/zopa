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AF8"/>
      </patternFill>
    </fill>
    <fill>
      <patternFill patternType="solid">
        <fgColor rgb="00F0F4FA"/>
      </patternFill>
    </fill>
    <fill>
      <patternFill patternType="solid">
        <fgColor rgb="00FFF3CD"/>
      </patternFill>
    </fill>
    <fill>
      <patternFill patternType="solid">
        <fgColor rgb="00EAF6EE"/>
      </patternFill>
    </fill>
    <fill>
      <patternFill patternType="solid">
        <fgColor rgb="00FFE0B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pivotButton="0" quotePrefix="0" xfId="0"/>
    <xf numFmtId="0" fontId="4" fillId="5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4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22" customWidth="1" min="12" max="12"/>
    <col width="22" customWidth="1" min="13" max="13"/>
    <col width="16" customWidth="1" min="14" max="14"/>
    <col width="16" customWidth="1" min="15" max="15"/>
    <col width="16" customWidth="1" min="16" max="16"/>
    <col width="10" customWidth="1" min="17" max="17"/>
    <col width="8" customWidth="1" min="18" max="18"/>
    <col width="9" customWidth="1" min="19" max="19"/>
    <col width="9" customWidth="1" min="20" max="20"/>
    <col width="28" customWidth="1" min="21" max="21"/>
    <col width="11" customWidth="1" min="22" max="22"/>
    <col width="16" customWidth="1" min="23" max="23"/>
    <col width="13" customWidth="1" min="24" max="24"/>
    <col width="13" customWidth="1" min="25" max="25"/>
    <col width="14" customWidth="1" min="26" max="26"/>
    <col width="18" customWidth="1" min="27" max="27"/>
    <col width="11" customWidth="1" min="28" max="28"/>
    <col width="18" customWidth="1" min="29" max="29"/>
    <col width="11" customWidth="1" min="30" max="30"/>
    <col width="14" customWidth="1" min="31" max="31"/>
    <col width="16" customWidth="1" min="32" max="32"/>
    <col width="16" customWidth="1" min="33" max="33"/>
    <col width="10" customWidth="1" min="34" max="34"/>
    <col width="16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6" customWidth="1" min="47" max="47"/>
    <col width="10" customWidth="1" min="48" max="48"/>
    <col width="10" customWidth="1" min="49" max="49"/>
    <col width="10" customWidth="1" min="50" max="50"/>
    <col width="10" customWidth="1" min="51" max="51"/>
  </cols>
  <sheetData>
    <row r="1" ht="22" customHeight="1">
      <c r="A1" s="1" t="inlineStr">
        <is>
          <t>Stations id</t>
        </is>
      </c>
      <c r="B1" s="2" t="n"/>
      <c r="C1" s="3" t="n"/>
      <c r="D1" s="1" t="inlineStr">
        <is>
          <t>Start</t>
        </is>
      </c>
      <c r="E1" s="2" t="n"/>
      <c r="F1" s="2" t="n"/>
      <c r="G1" s="2" t="n"/>
      <c r="H1" s="2" t="n"/>
      <c r="I1" s="3" t="n"/>
      <c r="J1" s="1" t="inlineStr">
        <is>
          <t>End</t>
        </is>
      </c>
      <c r="K1" s="2" t="n"/>
      <c r="L1" s="2" t="n"/>
      <c r="M1" s="2" t="n"/>
      <c r="N1" s="2" t="n"/>
      <c r="O1" s="2" t="n"/>
      <c r="P1" s="2" t="n"/>
      <c r="Q1" s="3" t="n"/>
      <c r="R1" s="1" t="inlineStr">
        <is>
          <t>Depth</t>
        </is>
      </c>
      <c r="S1" s="3" t="n"/>
      <c r="T1" s="1" t="inlineStr">
        <is>
          <t>Comments</t>
        </is>
      </c>
      <c r="U1" s="3" t="n"/>
      <c r="V1" s="1" t="inlineStr">
        <is>
          <t>Duration &amp; Distance</t>
        </is>
      </c>
      <c r="W1" s="2" t="n"/>
      <c r="X1" s="2" t="n"/>
      <c r="Y1" s="3" t="n"/>
      <c r="Z1" s="1" t="inlineStr">
        <is>
          <t>Volume</t>
        </is>
      </c>
      <c r="AA1" s="2" t="n"/>
      <c r="AB1" s="3" t="n"/>
      <c r="AC1" s="1" t="inlineStr">
        <is>
          <t>PlanktoSpace station</t>
        </is>
      </c>
      <c r="AD1" s="3" t="n"/>
      <c r="AE1" s="1" t="inlineStr">
        <is>
          <t>Lamprey analysis</t>
        </is>
      </c>
      <c r="AF1" s="2" t="n"/>
      <c r="AG1" s="2" t="n"/>
      <c r="AH1" s="2" t="n"/>
      <c r="AI1" s="3" t="n"/>
      <c r="AJ1" s="1" t="inlineStr">
        <is>
          <t>QCuriosity analysis</t>
        </is>
      </c>
      <c r="AK1" s="2" t="n"/>
      <c r="AL1" s="3" t="n"/>
      <c r="AM1" s="1" t="inlineStr">
        <is>
          <t>Planktoscope analysis</t>
        </is>
      </c>
      <c r="AN1" s="2" t="n"/>
      <c r="AO1" s="2" t="n"/>
      <c r="AP1" s="2" t="n"/>
      <c r="AQ1" s="2" t="n"/>
      <c r="AR1" s="2" t="n"/>
      <c r="AS1" s="2" t="n"/>
      <c r="AT1" s="3" t="n"/>
      <c r="AU1" s="1" t="inlineStr">
        <is>
          <t>Turbidometre</t>
        </is>
      </c>
      <c r="AV1" s="2" t="n"/>
      <c r="AW1" s="2" t="n"/>
      <c r="AX1" s="3" t="n"/>
      <c r="AY1" s="1" t="inlineStr">
        <is>
          <t>Secchi Disk</t>
        </is>
      </c>
    </row>
    <row r="2" ht="42" customHeight="1">
      <c r="A2" s="4" t="inlineStr">
        <is>
          <t>Vela Lab station</t>
        </is>
      </c>
      <c r="B2" s="4" t="inlineStr">
        <is>
          <t>Vela Lab station type</t>
        </is>
      </c>
      <c r="C2" s="5" t="inlineStr">
        <is>
          <t>cloud_coverage (%)</t>
        </is>
      </c>
      <c r="D2" s="4" t="inlineStr">
        <is>
          <t>date_start (YYYY-MM-DD)</t>
        </is>
      </c>
      <c r="E2" s="4" t="inlineStr">
        <is>
          <t>time_start (UTC HH:MM:SS)</t>
        </is>
      </c>
      <c r="F2" s="4" t="inlineStr">
        <is>
          <t>lat_start (°N)</t>
        </is>
      </c>
      <c r="G2" s="4" t="inlineStr">
        <is>
          <t>lon_start (°E)</t>
        </is>
      </c>
      <c r="H2" s="4" t="inlineStr">
        <is>
          <t>lat_start (decimal °N)</t>
        </is>
      </c>
      <c r="I2" s="4" t="inlineStr">
        <is>
          <t>lon_start (decimal °E)</t>
        </is>
      </c>
      <c r="J2" s="4" t="inlineStr">
        <is>
          <t>date_end (YYYY-MM-DD)</t>
        </is>
      </c>
      <c r="K2" s="4" t="inlineStr">
        <is>
          <t>time_end (UTC HH:MM:SS)</t>
        </is>
      </c>
      <c r="L2" s="4" t="inlineStr">
        <is>
          <t>lat_end (°N)</t>
        </is>
      </c>
      <c r="M2" s="4" t="inlineStr">
        <is>
          <t>lon_end (°E)</t>
        </is>
      </c>
      <c r="N2" s="4" t="inlineStr">
        <is>
          <t>lat_end (decimal °N)</t>
        </is>
      </c>
      <c r="O2" s="4" t="inlineStr">
        <is>
          <t>lon_end (decimal °E)</t>
        </is>
      </c>
      <c r="P2" s="4" t="inlineStr">
        <is>
          <t>device</t>
        </is>
      </c>
      <c r="Q2" s="4" t="inlineStr">
        <is>
          <t>mouth_Ø (cm)</t>
        </is>
      </c>
      <c r="R2" s="4" t="inlineStr">
        <is>
          <t>depth (m)</t>
        </is>
      </c>
      <c r="S2" s="4" t="inlineStr">
        <is>
          <t>size_min (um)</t>
        </is>
      </c>
      <c r="T2" s="4" t="inlineStr">
        <is>
          <t>size_max (um)</t>
        </is>
      </c>
      <c r="U2" s="5" t="inlineStr">
        <is>
          <t>comment about the sampling</t>
        </is>
      </c>
      <c r="V2" s="4" t="inlineStr">
        <is>
          <t>duration (min)</t>
        </is>
      </c>
      <c r="W2" s="4" t="inlineStr">
        <is>
          <t>distance (km) Haversine</t>
        </is>
      </c>
      <c r="X2" s="4" t="inlineStr">
        <is>
          <t>SOG_moy (kts)</t>
        </is>
      </c>
      <c r="Y2" s="4" t="inlineStr">
        <is>
          <t>SOG_moy NMEA (kts)</t>
        </is>
      </c>
      <c r="Z2" s="6" t="inlineStr">
        <is>
          <t>surface mouth (m²)</t>
        </is>
      </c>
      <c r="AA2" s="6" t="inlineStr">
        <is>
          <t>vol_net theoric (m³)</t>
        </is>
      </c>
      <c r="AB2" s="5" t="inlineStr">
        <is>
          <t>vol_net_conc (ml)</t>
        </is>
      </c>
      <c r="AC2" s="4" t="inlineStr">
        <is>
          <t>PlanktoSpace station</t>
        </is>
      </c>
      <c r="AD2" s="5" t="inlineStr">
        <is>
          <t>barcode</t>
        </is>
      </c>
      <c r="AE2" s="4" t="inlineStr">
        <is>
          <t>size (micro/nano/pico)</t>
        </is>
      </c>
      <c r="AF2" s="4" t="inlineStr">
        <is>
          <t>time_filtration_start (UTC)</t>
        </is>
      </c>
      <c r="AG2" s="4" t="inlineStr">
        <is>
          <t>time_filtration_end (UTC)</t>
        </is>
      </c>
      <c r="AH2" s="4" t="inlineStr">
        <is>
          <t>saturation (Y/N)</t>
        </is>
      </c>
      <c r="AI2" s="4" t="inlineStr">
        <is>
          <t>vol_lamprey_filtrate (ml)</t>
        </is>
      </c>
      <c r="AJ2" s="5" t="inlineStr">
        <is>
          <t>vol_curiosity (ml)</t>
        </is>
      </c>
      <c r="AK2" s="5" t="inlineStr">
        <is>
          <t>conc_or_dilution</t>
        </is>
      </c>
      <c r="AL2" s="5" t="inlineStr">
        <is>
          <t>nb_images</t>
        </is>
      </c>
      <c r="AM2" s="5" t="inlineStr">
        <is>
          <t>vol_pscope (ml)</t>
        </is>
      </c>
      <c r="AN2" s="5" t="inlineStr">
        <is>
          <t>acq</t>
        </is>
      </c>
      <c r="AO2" s="5" t="inlineStr">
        <is>
          <t>seg</t>
        </is>
      </c>
      <c r="AP2" s="5" t="inlineStr">
        <is>
          <t>facteur_pscope</t>
        </is>
      </c>
      <c r="AQ2" s="5" t="inlineStr">
        <is>
          <t>vol_pscope_effectif (ml)</t>
        </is>
      </c>
      <c r="AR2" s="5" t="inlineStr">
        <is>
          <t>vol_imaged (ml)</t>
        </is>
      </c>
      <c r="AS2" s="5" t="inlineStr">
        <is>
          <t>acq_imaged_volume (ml)</t>
        </is>
      </c>
      <c r="AT2" s="5" t="inlineStr">
        <is>
          <t>conc_filet (m³/organisme)</t>
        </is>
      </c>
      <c r="AU2" s="4" t="inlineStr">
        <is>
          <t>time_turbi (UTC HH:MM:SS)</t>
        </is>
      </c>
      <c r="AV2" s="4" t="inlineStr">
        <is>
          <t>turbi_1</t>
        </is>
      </c>
      <c r="AW2" s="4" t="inlineStr">
        <is>
          <t>turbi_2</t>
        </is>
      </c>
      <c r="AX2" s="4" t="inlineStr">
        <is>
          <t>turbi_3</t>
        </is>
      </c>
      <c r="AY2" s="4" t="inlineStr">
        <is>
          <t>Secchi Disk</t>
        </is>
      </c>
    </row>
    <row r="3">
      <c r="A3" s="7" t="inlineStr">
        <is>
          <t>Vela_Lab_hyp_st015</t>
        </is>
      </c>
      <c r="B3" s="7" t="inlineStr">
        <is>
          <t>hyp</t>
        </is>
      </c>
      <c r="C3" s="8" t="inlineStr"/>
      <c r="D3" s="7" t="inlineStr">
        <is>
          <t>2026-07-04</t>
        </is>
      </c>
      <c r="E3" s="7" t="inlineStr">
        <is>
          <t>10:17:36</t>
        </is>
      </c>
      <c r="F3" s="7" t="inlineStr">
        <is>
          <t>40°50,3711'N</t>
        </is>
      </c>
      <c r="G3" s="7" t="inlineStr">
        <is>
          <t>008°8,0151'E</t>
        </is>
      </c>
      <c r="H3" s="7" t="inlineStr">
        <is>
          <t>40,83951833</t>
        </is>
      </c>
      <c r="I3" s="7" t="inlineStr">
        <is>
          <t>8,13358500</t>
        </is>
      </c>
      <c r="J3" s="7" t="inlineStr">
        <is>
          <t>2026-07-04</t>
        </is>
      </c>
      <c r="K3" s="7" t="inlineStr">
        <is>
          <t>13:46:00</t>
        </is>
      </c>
      <c r="L3" s="7" t="inlineStr">
        <is>
          <t>40°34,4149'N</t>
        </is>
      </c>
      <c r="M3" s="7" t="inlineStr">
        <is>
          <t>008°5,1971'E</t>
        </is>
      </c>
      <c r="N3" s="7" t="inlineStr">
        <is>
          <t>40,57358167</t>
        </is>
      </c>
      <c r="O3" s="7" t="inlineStr">
        <is>
          <t>8,08661833</t>
        </is>
      </c>
      <c r="P3" s="8" t="inlineStr"/>
      <c r="Q3" s="8" t="inlineStr"/>
      <c r="R3" s="8" t="inlineStr"/>
      <c r="S3" s="8" t="inlineStr"/>
      <c r="T3" s="8" t="inlineStr"/>
      <c r="U3" s="8" t="inlineStr"/>
      <c r="V3" s="7" t="inlineStr">
        <is>
          <t>208,40</t>
        </is>
      </c>
      <c r="W3" s="7" t="inlineStr">
        <is>
          <t>29,834640</t>
        </is>
      </c>
      <c r="X3" s="7" t="inlineStr">
        <is>
          <t>4,6380</t>
        </is>
      </c>
      <c r="Y3" s="7" t="inlineStr">
        <is>
          <t>4,7267</t>
        </is>
      </c>
      <c r="Z3" s="9">
        <f>IF(Q3&lt;&gt;"",PI()*((Q3/100)/2)^2,"")</f>
        <v/>
      </c>
      <c r="AA3" s="9">
        <f>IF(AND(Z3&lt;&gt;"",W3&lt;&gt;""),Z3*W3,"")</f>
        <v/>
      </c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  <c r="AT3" s="8" t="inlineStr"/>
      <c r="AU3" s="7" t="inlineStr">
        <is>
          <t>10:52:18</t>
        </is>
      </c>
      <c r="AV3" s="7" t="inlineStr">
        <is>
          <t>1,5700</t>
        </is>
      </c>
      <c r="AW3" s="7" t="inlineStr">
        <is>
          <t>1,4800</t>
        </is>
      </c>
      <c r="AX3" s="7" t="inlineStr">
        <is>
          <t>1,3000</t>
        </is>
      </c>
      <c r="AY3" s="8" t="inlineStr"/>
    </row>
    <row r="6">
      <c r="A6" s="10" t="inlineStr">
        <is>
          <t>Rempli automatiquement depuis NMEA / events</t>
        </is>
      </c>
    </row>
    <row r="7">
      <c r="A7" s="11" t="inlineStr">
        <is>
          <t>Calculé par formule Excel (saisir le Ø filet pour activer)</t>
        </is>
      </c>
    </row>
    <row r="8">
      <c r="A8" s="12" t="inlineStr">
        <is>
          <t>Ligne Bucket (position = moment du bucket)</t>
        </is>
      </c>
    </row>
    <row r="9">
      <c r="A9" s="13" t="inlineStr">
        <is>
          <t>À remplir manuellement après la mesure</t>
        </is>
      </c>
    </row>
    <row r="12">
      <c r="A12" s="14" t="inlineStr">
        <is>
          <t>Généré par process_science.py — Isola Piana (Stintino) → Capo Caccia — 1 ligne(s). Vérifier puis copier-coller dans Bio_sampling_Vela_Lab (Google Drive).</t>
        </is>
      </c>
    </row>
  </sheetData>
  <mergeCells count="12">
    <mergeCell ref="Z1:AB1"/>
    <mergeCell ref="AM1:AT1"/>
    <mergeCell ref="AU1:AX1"/>
    <mergeCell ref="AJ1:AL1"/>
    <mergeCell ref="A1:C1"/>
    <mergeCell ref="T1:U1"/>
    <mergeCell ref="AC1:AD1"/>
    <mergeCell ref="AE1:AI1"/>
    <mergeCell ref="J1:Q1"/>
    <mergeCell ref="V1:Y1"/>
    <mergeCell ref="R1:S1"/>
    <mergeCell ref="D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2026-07-08T08:46:33Z</dcterms:created>
  <dcterms:modified xmlns:dcterms="http://purl.org/dc/terms/" xmlns:xsi="http://www.w3.org/2001/XMLSchema-instance" xsi:type="dcterms:W3CDTF">2026-07-08T08:46:33Z</dcterms:modified>
</cp:coreProperties>
</file>