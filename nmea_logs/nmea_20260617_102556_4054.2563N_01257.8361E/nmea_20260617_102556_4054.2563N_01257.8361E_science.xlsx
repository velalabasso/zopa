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E0B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0" customWidth="1" min="17" max="17"/>
    <col width="8" customWidth="1" min="18" max="18"/>
    <col width="9" customWidth="1" min="19" max="19"/>
    <col width="9" customWidth="1" min="20" max="20"/>
    <col width="28" customWidth="1" min="21" max="21"/>
    <col width="11" customWidth="1" min="22" max="22"/>
    <col width="16" customWidth="1" min="23" max="23"/>
    <col width="13" customWidth="1" min="24" max="24"/>
    <col width="13" customWidth="1" min="25" max="25"/>
    <col width="14" customWidth="1" min="26" max="26"/>
    <col width="18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  <c r="AY1" s="1" t="inlineStr">
        <is>
          <t>Secchi Disk</t>
        </is>
      </c>
    </row>
    <row r="2" ht="42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5" t="inlineStr">
        <is>
          <t>device</t>
        </is>
      </c>
      <c r="Q2" s="5" t="inlineStr">
        <is>
          <t>mouth_Ø (cm)</t>
        </is>
      </c>
      <c r="R2" s="5" t="inlineStr">
        <is>
          <t>depth (m)</t>
        </is>
      </c>
      <c r="S2" s="5" t="inlineStr">
        <is>
          <t>size_min (um)</t>
        </is>
      </c>
      <c r="T2" s="5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5" t="inlineStr">
        <is>
          <t>PlanktoSpace station</t>
        </is>
      </c>
      <c r="AD2" s="5" t="inlineStr">
        <is>
          <t>barcode</t>
        </is>
      </c>
      <c r="AE2" s="5" t="inlineStr">
        <is>
          <t>vol_lamprey (ml)</t>
        </is>
      </c>
      <c r="AF2" s="5" t="inlineStr">
        <is>
          <t>time_filtration_start (UTC)</t>
        </is>
      </c>
      <c r="AG2" s="5" t="inlineStr">
        <is>
          <t>time_filtration_end (UTC)</t>
        </is>
      </c>
      <c r="AH2" s="5" t="inlineStr">
        <is>
          <t>saturation (Y/N)</t>
        </is>
      </c>
      <c r="AI2" s="5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5" t="inlineStr">
        <is>
          <t>time_turbi (UTC HH:MM:SS)</t>
        </is>
      </c>
      <c r="AV2" s="5" t="inlineStr">
        <is>
          <t>turbi_1</t>
        </is>
      </c>
      <c r="AW2" s="5" t="inlineStr">
        <is>
          <t>turbi_2</t>
        </is>
      </c>
      <c r="AX2" s="5" t="inlineStr">
        <is>
          <t>turbi_3</t>
        </is>
      </c>
      <c r="AY2" s="5" t="inlineStr">
        <is>
          <t>Secchi Disk</t>
        </is>
      </c>
    </row>
    <row r="3">
      <c r="A3" s="7" t="inlineStr">
        <is>
          <t>Vela_Lab_hyp_st01</t>
        </is>
      </c>
      <c r="B3" s="7" t="inlineStr">
        <is>
          <t>hyp</t>
        </is>
      </c>
      <c r="C3" s="8" t="inlineStr"/>
      <c r="D3" s="7" t="inlineStr">
        <is>
          <t>2026-06-18</t>
        </is>
      </c>
      <c r="E3" s="7" t="inlineStr">
        <is>
          <t>08:26:20</t>
        </is>
      </c>
      <c r="F3" s="7" t="inlineStr">
        <is>
          <t>40°45,4447'N</t>
        </is>
      </c>
      <c r="G3" s="7" t="inlineStr">
        <is>
          <t>011°20,6691'E</t>
        </is>
      </c>
      <c r="H3" s="7" t="inlineStr">
        <is>
          <t>40,75741167</t>
        </is>
      </c>
      <c r="I3" s="7" t="inlineStr">
        <is>
          <t>11,34448500</t>
        </is>
      </c>
      <c r="J3" s="7" t="inlineStr">
        <is>
          <t>2026-06-18</t>
        </is>
      </c>
      <c r="K3" s="7" t="inlineStr">
        <is>
          <t>13:43:27</t>
        </is>
      </c>
      <c r="L3" s="7" t="inlineStr">
        <is>
          <t>40°46,8508'N</t>
        </is>
      </c>
      <c r="M3" s="7" t="inlineStr">
        <is>
          <t>040°46,8508'E</t>
        </is>
      </c>
      <c r="N3" s="7" t="inlineStr">
        <is>
          <t>40,78084667</t>
        </is>
      </c>
      <c r="O3" s="7" t="inlineStr">
        <is>
          <t>10,95791833</t>
        </is>
      </c>
      <c r="P3" s="8" t="inlineStr"/>
      <c r="Q3" s="8" t="inlineStr"/>
      <c r="R3" s="8" t="inlineStr"/>
      <c r="S3" s="8" t="inlineStr"/>
      <c r="T3" s="8" t="inlineStr"/>
      <c r="U3" s="8" t="inlineStr"/>
      <c r="V3" s="7" t="inlineStr">
        <is>
          <t>317,12</t>
        </is>
      </c>
      <c r="W3" s="7" t="inlineStr">
        <is>
          <t>32,658097</t>
        </is>
      </c>
      <c r="X3" s="7" t="inlineStr">
        <is>
          <t>3,3364</t>
        </is>
      </c>
      <c r="Y3" s="7" t="inlineStr">
        <is>
          <t>3,4057</t>
        </is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</row>
    <row r="4">
      <c r="A4" s="7" t="inlineStr">
        <is>
          <t>Vela_Lab_bio_st01_1</t>
        </is>
      </c>
      <c r="B4" s="7" t="inlineStr">
        <is>
          <t>bio</t>
        </is>
      </c>
      <c r="C4" s="8" t="inlineStr"/>
      <c r="D4" s="7" t="inlineStr">
        <is>
          <t>2026-06-18</t>
        </is>
      </c>
      <c r="E4" s="7" t="inlineStr">
        <is>
          <t>09:57:28</t>
        </is>
      </c>
      <c r="F4" s="7" t="inlineStr">
        <is>
          <t>40°46,0157'N</t>
        </is>
      </c>
      <c r="G4" s="7" t="inlineStr">
        <is>
          <t>011°14,0480'E</t>
        </is>
      </c>
      <c r="H4" s="7" t="inlineStr">
        <is>
          <t>40,76692833</t>
        </is>
      </c>
      <c r="I4" s="7" t="inlineStr">
        <is>
          <t>11,23413333</t>
        </is>
      </c>
      <c r="J4" s="7" t="inlineStr">
        <is>
          <t>2026-06-18</t>
        </is>
      </c>
      <c r="K4" s="7" t="inlineStr">
        <is>
          <t>10:14:50</t>
        </is>
      </c>
      <c r="L4" s="7" t="inlineStr">
        <is>
          <t>40°45,7929'N</t>
        </is>
      </c>
      <c r="M4" s="7" t="inlineStr">
        <is>
          <t>011°12,8484'E</t>
        </is>
      </c>
      <c r="N4" s="7" t="inlineStr">
        <is>
          <t>40,76321500</t>
        </is>
      </c>
      <c r="O4" s="7" t="inlineStr">
        <is>
          <t>11,21414000</t>
        </is>
      </c>
      <c r="P4" s="8" t="inlineStr">
        <is>
          <t>Coryphaena</t>
        </is>
      </c>
      <c r="Q4" s="8" t="inlineStr">
        <is>
          <t>6</t>
        </is>
      </c>
      <c r="R4" s="8" t="inlineStr">
        <is>
          <t>1</t>
        </is>
      </c>
      <c r="S4" s="8" t="inlineStr">
        <is>
          <t>50</t>
        </is>
      </c>
      <c r="T4" s="8" t="inlineStr">
        <is>
          <t>200</t>
        </is>
      </c>
      <c r="U4" s="8" t="inlineStr"/>
      <c r="V4" s="7" t="inlineStr">
        <is>
          <t>17,37</t>
        </is>
      </c>
      <c r="W4" s="7" t="inlineStr">
        <is>
          <t>1,733692</t>
        </is>
      </c>
      <c r="X4" s="7" t="inlineStr">
        <is>
          <t>3,2342</t>
        </is>
      </c>
      <c r="Y4" s="7" t="inlineStr">
        <is>
          <t>3,2373</t>
        </is>
      </c>
      <c r="Z4" s="9">
        <f>IF(Q4&lt;&gt;"",PI()*((Q4/100)/2)^2,"")</f>
        <v/>
      </c>
      <c r="AA4" s="9">
        <f>IF(AND(Z4&lt;&gt;"",W4&lt;&gt;""),Z4*W4,"")</f>
        <v/>
      </c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</row>
    <row r="5">
      <c r="A5" s="10" t="inlineStr">
        <is>
          <t>Vela_Lab_bio_st01_2</t>
        </is>
      </c>
      <c r="B5" s="10" t="inlineStr">
        <is>
          <t>bio</t>
        </is>
      </c>
      <c r="C5" s="10" t="inlineStr"/>
      <c r="D5" s="10" t="inlineStr">
        <is>
          <t>2026-06-18</t>
        </is>
      </c>
      <c r="E5" s="10" t="inlineStr">
        <is>
          <t>10:12:53</t>
        </is>
      </c>
      <c r="F5" s="10" t="inlineStr">
        <is>
          <t>40°45,8184'N</t>
        </is>
      </c>
      <c r="G5" s="10" t="inlineStr">
        <is>
          <t>011°12,9879'E</t>
        </is>
      </c>
      <c r="H5" s="10" t="inlineStr">
        <is>
          <t>40,76364000</t>
        </is>
      </c>
      <c r="I5" s="10" t="inlineStr">
        <is>
          <t>11,21646500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>
        <is>
          <t>Bucket 1</t>
        </is>
      </c>
      <c r="Q5" s="10" t="inlineStr"/>
      <c r="R5" s="10" t="inlineStr">
        <is>
          <t>0,3</t>
        </is>
      </c>
      <c r="S5" s="10" t="inlineStr"/>
      <c r="T5" s="10" t="inlineStr"/>
      <c r="U5" s="10" t="inlineStr"/>
      <c r="V5" s="10" t="inlineStr"/>
      <c r="W5" s="10" t="inlineStr"/>
      <c r="X5" s="10" t="inlineStr"/>
      <c r="Y5" s="10" t="inlineStr">
        <is>
          <t>3,5000</t>
        </is>
      </c>
      <c r="Z5" s="9">
        <f>IF(Q5&lt;&gt;"",PI()*((Q5/100)/2)^2,"")</f>
        <v/>
      </c>
      <c r="AA5" s="9">
        <f>IF(AND(Z5&lt;&gt;"",W5&lt;&gt;""),Z5*W5,"")</f>
        <v/>
      </c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</row>
    <row r="6">
      <c r="A6" s="10" t="inlineStr">
        <is>
          <t>Vela_Lab_bio_st01_3</t>
        </is>
      </c>
      <c r="B6" s="10" t="inlineStr">
        <is>
          <t>bio</t>
        </is>
      </c>
      <c r="C6" s="10" t="inlineStr"/>
      <c r="D6" s="10" t="inlineStr">
        <is>
          <t>2026-06-18</t>
        </is>
      </c>
      <c r="E6" s="10" t="inlineStr">
        <is>
          <t>10:49:57</t>
        </is>
      </c>
      <c r="F6" s="10" t="inlineStr">
        <is>
          <t>40°45,5734'N</t>
        </is>
      </c>
      <c r="G6" s="10" t="inlineStr">
        <is>
          <t>011°9,9812'E</t>
        </is>
      </c>
      <c r="H6" s="10" t="inlineStr">
        <is>
          <t>40,75955667</t>
        </is>
      </c>
      <c r="I6" s="10" t="inlineStr">
        <is>
          <t>11,16635333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>
        <is>
          <t>Bucket 2</t>
        </is>
      </c>
      <c r="Q6" s="10" t="inlineStr"/>
      <c r="R6" s="10" t="inlineStr">
        <is>
          <t>0,3</t>
        </is>
      </c>
      <c r="S6" s="10" t="inlineStr"/>
      <c r="T6" s="10" t="inlineStr"/>
      <c r="U6" s="10" t="inlineStr"/>
      <c r="V6" s="10" t="inlineStr"/>
      <c r="W6" s="10" t="inlineStr"/>
      <c r="X6" s="10" t="inlineStr"/>
      <c r="Y6" s="10" t="inlineStr">
        <is>
          <t>3,7000</t>
        </is>
      </c>
      <c r="Z6" s="9">
        <f>IF(Q6&lt;&gt;"",PI()*((Q6/100)/2)^2,"")</f>
        <v/>
      </c>
      <c r="AA6" s="9">
        <f>IF(AND(Z6&lt;&gt;"",W6&lt;&gt;""),Z6*W6,"")</f>
        <v/>
      </c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</row>
    <row r="9">
      <c r="A9" s="11" t="inlineStr">
        <is>
          <t>Rempli automatiquement depuis NMEA</t>
        </is>
      </c>
    </row>
    <row r="10">
      <c r="A10" s="12" t="inlineStr">
        <is>
          <t>Calculé par formule Excel (saisir le Ø filet pour activer)</t>
        </is>
      </c>
    </row>
    <row r="11">
      <c r="A11" s="13" t="inlineStr">
        <is>
          <t>Ligne Bucket (position = début du NET de la même station)</t>
        </is>
      </c>
    </row>
    <row r="12">
      <c r="A12" s="14" t="inlineStr">
        <is>
          <t>À remplir manuellement après la mesure</t>
        </is>
      </c>
    </row>
    <row r="15">
      <c r="A15" s="15" t="inlineStr">
        <is>
          <t>Généré par process_science.py — Ponza → Palmarola — 4 ligne(s).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2026-06-22T15:26:09Z</dcterms:created>
  <dcterms:modified xmlns:dcterms="http://purl.org/dc/terms/" xmlns:xsi="http://www.w3.org/2001/XMLSchema-instance" xsi:type="dcterms:W3CDTF">2026-06-22T15:26:09Z</dcterms:modified>
</cp:coreProperties>
</file>